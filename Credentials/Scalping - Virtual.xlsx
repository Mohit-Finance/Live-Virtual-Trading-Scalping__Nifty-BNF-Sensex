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14CFD497-0249-4077-91D2-100FFEFBB747}" xr6:coauthVersionLast="47" xr6:coauthVersionMax="47" xr10:uidLastSave="{00000000-0000-0000-0000-000000000000}"/>
  <bookViews>
    <workbookView xWindow="4067" yWindow="1333" windowWidth="21033" windowHeight="10094" xr2:uid="{00000000-000D-0000-FFFF-FFFF00000000}"/>
  </bookViews>
  <sheets>
    <sheet name="Nifty" sheetId="1" r:id="rId1"/>
    <sheet name="Bank-Nifty" sheetId="2" r:id="rId2"/>
    <sheet name="Sens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2" i="3"/>
  <c r="J2" i="3"/>
  <c r="K2" i="3"/>
  <c r="H3" i="3"/>
  <c r="I3" i="3"/>
  <c r="J3" i="3"/>
  <c r="K3" i="3"/>
  <c r="H4" i="3"/>
  <c r="I4" i="3"/>
  <c r="J4" i="3"/>
  <c r="K4" i="3"/>
  <c r="H5" i="3"/>
  <c r="I5" i="3"/>
  <c r="J5" i="3"/>
  <c r="K5" i="3"/>
  <c r="H6" i="3"/>
  <c r="J6" i="3"/>
  <c r="K6" i="3"/>
  <c r="H2" i="2"/>
  <c r="I2" i="2"/>
  <c r="J2" i="2"/>
  <c r="K2" i="2"/>
  <c r="H3" i="2"/>
  <c r="I3" i="2"/>
  <c r="J3" i="2"/>
  <c r="K3" i="2"/>
  <c r="H4" i="2"/>
  <c r="I4" i="2"/>
  <c r="J4" i="2"/>
  <c r="K4" i="2"/>
  <c r="H5" i="2"/>
  <c r="I5" i="2"/>
  <c r="J5" i="2"/>
  <c r="K5" i="2"/>
  <c r="H6" i="2"/>
  <c r="J6" i="2"/>
  <c r="K6" i="2"/>
  <c r="F6" i="3" l="1"/>
  <c r="F6" i="2"/>
  <c r="F6" i="1"/>
  <c r="O10" i="2" l="1"/>
  <c r="N10" i="2"/>
  <c r="M10" i="2"/>
  <c r="O5" i="2"/>
  <c r="N5" i="2"/>
  <c r="M5" i="2"/>
  <c r="O10" i="3" l="1"/>
  <c r="N10" i="3"/>
  <c r="M10" i="3"/>
  <c r="O5" i="3"/>
  <c r="N5" i="3"/>
  <c r="M5" i="3"/>
  <c r="N10" i="1"/>
  <c r="O10" i="1"/>
  <c r="M10" i="1"/>
  <c r="N5" i="1"/>
  <c r="O5" i="1"/>
  <c r="M5" i="1"/>
</calcChain>
</file>

<file path=xl/sharedStrings.xml><?xml version="1.0" encoding="utf-8"?>
<sst xmlns="http://schemas.openxmlformats.org/spreadsheetml/2006/main" count="246" uniqueCount="96">
  <si>
    <t>Points</t>
  </si>
  <si>
    <t>PE</t>
  </si>
  <si>
    <t>CE</t>
  </si>
  <si>
    <t>Strike</t>
  </si>
  <si>
    <t>Brokerage</t>
  </si>
  <si>
    <t>Net Profit</t>
  </si>
  <si>
    <t>Profit</t>
  </si>
  <si>
    <t>Total Trades</t>
  </si>
  <si>
    <t>Loss Trades</t>
  </si>
  <si>
    <t>Profit Trades</t>
  </si>
  <si>
    <t>Lot - Max 50</t>
  </si>
  <si>
    <t>Buy</t>
  </si>
  <si>
    <t>CE-PE</t>
  </si>
  <si>
    <t>Sell</t>
  </si>
  <si>
    <t>Z+UP</t>
  </si>
  <si>
    <t>Z+DOWN</t>
  </si>
  <si>
    <t>CE - SELL</t>
  </si>
  <si>
    <t>PE - BUY</t>
  </si>
  <si>
    <t>X+UP</t>
  </si>
  <si>
    <t>PE - SELL</t>
  </si>
  <si>
    <t>X+DOWN</t>
  </si>
  <si>
    <t>Refresh Data : Press r</t>
  </si>
  <si>
    <t>Target</t>
  </si>
  <si>
    <t>Stop Loss</t>
  </si>
  <si>
    <t>ATM Straddle - BUY</t>
  </si>
  <si>
    <t>ATM Straddle - SELL</t>
  </si>
  <si>
    <t>B+UP</t>
  </si>
  <si>
    <t>B+DOWN</t>
  </si>
  <si>
    <t>Leg 1</t>
  </si>
  <si>
    <t>Leg 2</t>
  </si>
  <si>
    <t>Leg Wise Target &amp; Stop Loss</t>
  </si>
  <si>
    <t>Combined Position :
Target &amp; Stop Loss</t>
  </si>
  <si>
    <t>0 : Target and Stoploss Not Set</t>
  </si>
  <si>
    <t>Lot - Max 24 / Order</t>
  </si>
  <si>
    <t>Instrument Token</t>
  </si>
  <si>
    <t>Signal</t>
  </si>
  <si>
    <t>Type</t>
  </si>
  <si>
    <t>Lot Size</t>
  </si>
  <si>
    <t>Lot</t>
  </si>
  <si>
    <t>Total Qty</t>
  </si>
  <si>
    <t>Entry LTP</t>
  </si>
  <si>
    <t>Current LTP</t>
  </si>
  <si>
    <t>BUY</t>
  </si>
  <si>
    <t>Gain %</t>
  </si>
  <si>
    <t>Margin</t>
  </si>
  <si>
    <t>CE - BUY</t>
  </si>
  <si>
    <t>Buy Limit Order</t>
  </si>
  <si>
    <t>Sell Limit Order</t>
  </si>
  <si>
    <t>BLO</t>
  </si>
  <si>
    <t>SLO</t>
  </si>
  <si>
    <t>BBO</t>
  </si>
  <si>
    <t>SBD</t>
  </si>
  <si>
    <t>Automate Entry</t>
  </si>
  <si>
    <t>CE - LTP</t>
  </si>
  <si>
    <t>PE - LTP</t>
  </si>
  <si>
    <t>Type of Entry</t>
  </si>
  <si>
    <t>C7 Code</t>
  </si>
  <si>
    <t>CE - PE + Strike</t>
  </si>
  <si>
    <t>Synthetic Future Spot</t>
  </si>
  <si>
    <t>Qty/Lot (Nifty)</t>
  </si>
  <si>
    <t>Qty/Lot (Bank Nifty)</t>
  </si>
  <si>
    <t>Qty/Lot (Sensex)</t>
  </si>
  <si>
    <t>Current Expiry</t>
  </si>
  <si>
    <t>Trade Accuracy</t>
  </si>
  <si>
    <t>Lot - Max 17</t>
  </si>
  <si>
    <t>Positives &amp; Negatives</t>
  </si>
  <si>
    <t>Buy Break-Out</t>
  </si>
  <si>
    <t>Sell Break-Down</t>
  </si>
  <si>
    <t>EXIT ALL : DELETE x 2
(FAST)</t>
  </si>
  <si>
    <t>Position Closed...</t>
  </si>
  <si>
    <t>Strikes</t>
  </si>
  <si>
    <t>NSE_FO|53116</t>
  </si>
  <si>
    <t>RSI &gt; 55, EMA 9 &gt; EMA 21, LTP ABOVE VWAP</t>
  </si>
  <si>
    <t>Reset Target</t>
  </si>
  <si>
    <t>bbo</t>
  </si>
  <si>
    <t>Order Quantity : 20</t>
  </si>
  <si>
    <t>BSE_FO|887010</t>
  </si>
  <si>
    <t>Order Quantity : 510</t>
  </si>
  <si>
    <t>Synthetic ATM Strike : 59900</t>
  </si>
  <si>
    <t>Bank-Nifty SPOT : 59757.4</t>
  </si>
  <si>
    <t>Days to Expiry : 25 (Tuesday)</t>
  </si>
  <si>
    <t>Bank-Nifty : Mohit Sharma (Live Virtual Trade) | Today : 02-01-2026 / Friday | 09:12:53 AM</t>
  </si>
  <si>
    <t>Synthetic ATM Strike : 85300</t>
  </si>
  <si>
    <t>Sensex SPOT : 85259.36</t>
  </si>
  <si>
    <t>Days to Expiry : 6 (Thursday)</t>
  </si>
  <si>
    <t>Sensex : Mohit Sharma (Live Virtual Trade) | Today : 02-01-2026 / Friday | 09:12:56 AM</t>
  </si>
  <si>
    <t>Days to Expiry : 4 (Tuesday)</t>
  </si>
  <si>
    <t>Order Quantity : 1755</t>
  </si>
  <si>
    <t>NSE_FO|58689</t>
  </si>
  <si>
    <t>NSE_FO|58690</t>
  </si>
  <si>
    <t>Total Profit</t>
  </si>
  <si>
    <t>Synthetic ATM Strike : 25200</t>
  </si>
  <si>
    <t>Position Closed</t>
  </si>
  <si>
    <t>SELL</t>
  </si>
  <si>
    <t>Nifty : Lalit Sharma (Live Virtual Trade) | Today : 23-01-2026 / Friday | 12:14:00 PM</t>
  </si>
  <si>
    <t>Nifty SPOT : 25187.75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</si>
</sst>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2" borderId="4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5" xfId="0" applyBorder="1"/>
    <xf numFmtId="0" fontId="0" fillId="0" borderId="28" xfId="0" applyBorder="1"/>
    <xf numFmtId="164" fontId="0" fillId="5" borderId="13" xfId="0" applyNumberForma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8" xfId="0" applyFill="1" applyBorder="1"/>
    <xf numFmtId="0" fontId="0" fillId="6" borderId="20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35" xfId="0" applyBorder="1"/>
    <xf numFmtId="0" fontId="0" fillId="2" borderId="6" xfId="0" applyFill="1" applyBorder="1"/>
    <xf numFmtId="0" fontId="0" fillId="6" borderId="36" xfId="0" applyFill="1" applyBorder="1"/>
    <xf numFmtId="0" fontId="0" fillId="0" borderId="0" xfId="0" applyAlignment="1">
      <alignment wrapText="1"/>
    </xf>
    <xf numFmtId="0" fontId="0" fillId="2" borderId="10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6" borderId="37" xfId="0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16" xfId="0" applyFill="1" applyBorder="1"/>
    <xf numFmtId="0" fontId="0" fillId="2" borderId="36" xfId="0" applyFill="1" applyBorder="1"/>
    <xf numFmtId="10" fontId="0" fillId="3" borderId="9" xfId="0" applyNumberFormat="1" applyFill="1" applyBorder="1"/>
    <xf numFmtId="0" fontId="0" fillId="2" borderId="17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4" fontId="0" fillId="2" borderId="11" xfId="0" applyNumberFormat="1" applyFill="1" applyBorder="1"/>
    <xf numFmtId="0" fontId="0" fillId="6" borderId="43" xfId="0" applyFill="1" applyBorder="1"/>
    <xf numFmtId="0" fontId="0" fillId="6" borderId="4" xfId="0" applyFill="1" applyBorder="1"/>
    <xf numFmtId="0" fontId="0" fillId="6" borderId="27" xfId="0" applyFill="1" applyBorder="1"/>
    <xf numFmtId="0" fontId="0" fillId="6" borderId="1" xfId="0" applyFill="1" applyBorder="1"/>
    <xf numFmtId="0" fontId="0" fillId="6" borderId="30" xfId="0" applyFill="1" applyBorder="1"/>
    <xf numFmtId="0" fontId="0" fillId="6" borderId="14" xfId="0" applyFill="1" applyBorder="1"/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0" fontId="0" fillId="8" borderId="1" xfId="0" applyFill="1" applyBorder="1"/>
    <xf numFmtId="0" fontId="0" fillId="8" borderId="9" xfId="0" applyFill="1" applyBorder="1"/>
    <xf numFmtId="0" fontId="0" fillId="9" borderId="34" xfId="0" applyFill="1" applyBorder="1"/>
    <xf numFmtId="0" fontId="0" fillId="9" borderId="7" xfId="0" applyFill="1" applyBorder="1"/>
    <xf numFmtId="0" fontId="0" fillId="10" borderId="44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34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3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1" xfId="0" applyFill="1" applyBorder="1"/>
    <xf numFmtId="0" fontId="0" fillId="0" borderId="35" xfId="0" applyFill="1" applyBorder="1"/>
    <xf numFmtId="0" fontId="0" fillId="0" borderId="1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9" xfId="0" applyFill="1" applyBorder="1" applyAlignment="1">
      <alignment horizontal="center" vertical="center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23"/>
  <sheetViews>
    <sheetView tabSelected="1" topLeftCell="C9" zoomScale="115" zoomScaleNormal="115" workbookViewId="0">
      <selection activeCell="K24" sqref="K24"/>
    </sheetView>
  </sheetViews>
  <sheetFormatPr defaultColWidth="8.87890625" defaultRowHeight="14.35" x14ac:dyDescent="0.5"/>
  <cols>
    <col min="1" max="1" width="2.1171875" bestFit="1" customWidth="1"/>
    <col min="2" max="2" width="18.41015625" bestFit="1" customWidth="1"/>
    <col min="3" max="3" width="11.1171875" bestFit="1" customWidth="1"/>
    <col min="4" max="4" width="10" customWidth="1"/>
    <col min="5" max="5" width="14.87890625" bestFit="1" customWidth="1"/>
    <col min="6" max="6" width="8.1171875" bestFit="1" customWidth="1"/>
    <col min="7" max="7" width="3.41015625" bestFit="1" customWidth="1"/>
    <col min="8" max="8" width="9.64453125" bestFit="1" customWidth="1"/>
    <col min="9" max="9" width="9.1171875" customWidth="1"/>
    <col min="10" max="10" width="14.1171875" bestFit="1" customWidth="1"/>
    <col min="11" max="11" width="10.1171875" customWidth="1"/>
    <col min="12" max="12" width="8.87890625" customWidth="1"/>
    <col min="13" max="13" width="12" bestFit="1" customWidth="1"/>
    <col min="14" max="14" width="14.1171875" bestFit="1" customWidth="1"/>
    <col min="15" max="15" width="11.41015625" customWidth="1"/>
    <col min="16" max="16" width="10" customWidth="1"/>
  </cols>
  <sheetData>
    <row r="1" spans="1:16" ht="14.7" thickBot="1" x14ac:dyDescent="0.55000000000000004">
      <c r="A1" s="77"/>
      <c r="B1" s="82" t="s">
        <v>95</v>
      </c>
      <c r="C1" s="83"/>
      <c r="D1" s="84" t="s">
        <v>91</v>
      </c>
      <c r="E1" s="84"/>
      <c r="F1" s="85"/>
      <c r="G1" s="112"/>
      <c r="H1" s="99" t="s">
        <v>94</v>
      </c>
      <c r="I1" s="99"/>
      <c r="J1" s="99"/>
      <c r="K1" s="99"/>
      <c r="L1" s="99"/>
      <c r="M1" s="99"/>
      <c r="N1" s="99"/>
      <c r="O1" s="100"/>
    </row>
    <row r="2" spans="1:16" ht="14.7" thickBot="1" x14ac:dyDescent="0.55000000000000004">
      <c r="A2" s="78"/>
      <c r="B2" s="44" t="s">
        <v>59</v>
      </c>
      <c r="C2" s="4">
        <v>65</v>
      </c>
      <c r="D2" s="68">
        <v>28</v>
      </c>
      <c r="E2" s="68">
        <v>0</v>
      </c>
      <c r="F2" s="69">
        <v>0</v>
      </c>
      <c r="G2" s="112"/>
      <c r="H2" s="41" t="s">
        <v>6</v>
      </c>
      <c r="I2" s="34">
        <v>861.24999999999545</v>
      </c>
      <c r="J2" s="42" t="s">
        <v>9</v>
      </c>
      <c r="K2" s="43">
        <v>7</v>
      </c>
      <c r="L2" s="67" t="s">
        <v>70</v>
      </c>
      <c r="M2" s="123" t="s">
        <v>11</v>
      </c>
      <c r="N2" s="124"/>
      <c r="O2" s="125"/>
    </row>
    <row r="3" spans="1:16" x14ac:dyDescent="0.5">
      <c r="A3" s="78"/>
      <c r="B3" s="44" t="s">
        <v>33</v>
      </c>
      <c r="C3" s="8">
        <v>27</v>
      </c>
      <c r="D3" s="86" t="s">
        <v>87</v>
      </c>
      <c r="E3" s="86"/>
      <c r="F3" s="87"/>
      <c r="G3" s="112"/>
      <c r="H3" s="44" t="s">
        <v>4</v>
      </c>
      <c r="I3" s="4">
        <v>-4558</v>
      </c>
      <c r="J3" s="5" t="s">
        <v>8</v>
      </c>
      <c r="K3" s="45">
        <v>5</v>
      </c>
      <c r="L3" s="65">
        <v>25100</v>
      </c>
      <c r="M3" s="126" t="s">
        <v>2</v>
      </c>
      <c r="N3" s="127" t="s">
        <v>1</v>
      </c>
      <c r="O3" s="128" t="s">
        <v>12</v>
      </c>
    </row>
    <row r="4" spans="1:16" ht="14.7" thickBot="1" x14ac:dyDescent="0.55000000000000004">
      <c r="A4" s="78"/>
      <c r="B4" s="37" t="s">
        <v>62</v>
      </c>
      <c r="C4" s="56">
        <v>46049</v>
      </c>
      <c r="D4" s="75" t="s">
        <v>86</v>
      </c>
      <c r="E4" s="75"/>
      <c r="F4" s="76"/>
      <c r="G4" s="112"/>
      <c r="H4" s="46" t="s">
        <v>5</v>
      </c>
      <c r="I4" s="6">
        <v>-3696.7500000000045</v>
      </c>
      <c r="J4" s="5" t="s">
        <v>7</v>
      </c>
      <c r="K4" s="45">
        <v>12</v>
      </c>
      <c r="L4" s="65">
        <v>25150</v>
      </c>
      <c r="M4" s="12">
        <v>7679.75</v>
      </c>
      <c r="N4" s="7">
        <v>6496.75</v>
      </c>
      <c r="O4" s="13">
        <v>14235</v>
      </c>
    </row>
    <row r="5" spans="1:16" ht="14.7" thickBot="1" x14ac:dyDescent="0.55000000000000004">
      <c r="A5" s="78"/>
      <c r="B5" s="51" t="s">
        <v>53</v>
      </c>
      <c r="C5" s="9" t="s">
        <v>3</v>
      </c>
      <c r="D5" s="49" t="s">
        <v>54</v>
      </c>
      <c r="E5" s="80" t="s">
        <v>58</v>
      </c>
      <c r="F5" s="81"/>
      <c r="G5" s="112"/>
      <c r="H5" s="44" t="s">
        <v>0</v>
      </c>
      <c r="I5" s="4">
        <v>12.25</v>
      </c>
      <c r="J5" s="5" t="s">
        <v>63</v>
      </c>
      <c r="K5" s="48">
        <v>0.58330000000000004</v>
      </c>
      <c r="L5" s="65">
        <v>25200</v>
      </c>
      <c r="M5" s="20">
        <f>M4*$C$3</f>
        <v>207353.25</v>
      </c>
      <c r="N5" s="21">
        <f t="shared" ref="N5:O5" si="0">N4*$C$3</f>
        <v>175412.25</v>
      </c>
      <c r="O5" s="22">
        <f t="shared" si="0"/>
        <v>384345</v>
      </c>
    </row>
    <row r="6" spans="1:16" ht="14.7" thickBot="1" x14ac:dyDescent="0.55000000000000004">
      <c r="A6" s="78"/>
      <c r="B6" s="50">
        <v>118.1</v>
      </c>
      <c r="C6" s="52">
        <v>25200</v>
      </c>
      <c r="D6" s="39">
        <v>100.45</v>
      </c>
      <c r="E6" s="37" t="s">
        <v>57</v>
      </c>
      <c r="F6" s="38">
        <f>B6-D6+C6</f>
        <v>25217.65</v>
      </c>
      <c r="G6" s="112"/>
      <c r="H6" s="88" t="s">
        <v>65</v>
      </c>
      <c r="I6" s="89"/>
      <c r="J6" s="63">
        <v>6459.4999999999845</v>
      </c>
      <c r="K6" s="64">
        <v>-10156.249999999989</v>
      </c>
      <c r="L6" s="65">
        <v>25250</v>
      </c>
      <c r="M6" s="15">
        <v>-430</v>
      </c>
      <c r="N6" s="16">
        <v>-376</v>
      </c>
      <c r="O6" s="17">
        <v>-807</v>
      </c>
    </row>
    <row r="7" spans="1:16" ht="14.7" thickBot="1" x14ac:dyDescent="0.55000000000000004">
      <c r="A7" s="78"/>
      <c r="B7" s="53">
        <v>0</v>
      </c>
      <c r="C7" s="54" t="s">
        <v>74</v>
      </c>
      <c r="D7" s="55">
        <v>0</v>
      </c>
      <c r="E7" s="110" t="s">
        <v>52</v>
      </c>
      <c r="F7" s="111"/>
      <c r="G7" s="112"/>
      <c r="H7" s="107" t="s">
        <v>32</v>
      </c>
      <c r="I7" s="108"/>
      <c r="J7" s="108"/>
      <c r="K7" s="109"/>
      <c r="L7" s="65">
        <v>25300</v>
      </c>
      <c r="M7" s="123" t="s">
        <v>13</v>
      </c>
      <c r="N7" s="124"/>
      <c r="O7" s="125"/>
    </row>
    <row r="8" spans="1:16" ht="15" customHeight="1" thickBot="1" x14ac:dyDescent="0.55000000000000004">
      <c r="A8" s="78"/>
      <c r="B8" s="57"/>
      <c r="C8" s="58" t="s">
        <v>14</v>
      </c>
      <c r="D8" s="96" t="s">
        <v>68</v>
      </c>
      <c r="E8" s="27" t="s">
        <v>55</v>
      </c>
      <c r="F8" s="28" t="s">
        <v>56</v>
      </c>
      <c r="G8" s="112"/>
      <c r="H8" s="44" t="s">
        <v>22</v>
      </c>
      <c r="I8" s="121">
        <v>1</v>
      </c>
      <c r="J8" s="106" t="s">
        <v>31</v>
      </c>
      <c r="K8" s="104"/>
      <c r="L8" s="65">
        <v>25350</v>
      </c>
      <c r="M8" s="126" t="s">
        <v>2</v>
      </c>
      <c r="N8" s="127" t="s">
        <v>1</v>
      </c>
      <c r="O8" s="128" t="s">
        <v>12</v>
      </c>
    </row>
    <row r="9" spans="1:16" x14ac:dyDescent="0.5">
      <c r="A9" s="78"/>
      <c r="B9" s="59" t="s">
        <v>16</v>
      </c>
      <c r="C9" s="60" t="s">
        <v>15</v>
      </c>
      <c r="D9" s="97"/>
      <c r="E9" s="70" t="s">
        <v>73</v>
      </c>
      <c r="F9" s="71">
        <v>1</v>
      </c>
      <c r="G9" s="112"/>
      <c r="H9" s="44" t="s">
        <v>23</v>
      </c>
      <c r="I9" s="121">
        <v>0</v>
      </c>
      <c r="J9" s="106"/>
      <c r="K9" s="104"/>
      <c r="L9" s="65">
        <v>25400</v>
      </c>
      <c r="M9" s="12">
        <v>191401.27499999999</v>
      </c>
      <c r="N9" s="7">
        <v>176081.88</v>
      </c>
      <c r="O9" s="13">
        <v>224282.5</v>
      </c>
    </row>
    <row r="10" spans="1:16" ht="14.7" thickBot="1" x14ac:dyDescent="0.55000000000000004">
      <c r="A10" s="78"/>
      <c r="B10" s="59" t="s">
        <v>17</v>
      </c>
      <c r="C10" s="60" t="s">
        <v>18</v>
      </c>
      <c r="D10" s="97"/>
      <c r="E10" s="29" t="s">
        <v>66</v>
      </c>
      <c r="F10" s="30" t="s">
        <v>50</v>
      </c>
      <c r="G10" s="112"/>
      <c r="H10" s="120" t="s">
        <v>72</v>
      </c>
      <c r="I10" s="73"/>
      <c r="J10" s="73"/>
      <c r="K10" s="74"/>
      <c r="L10" s="65">
        <v>25450</v>
      </c>
      <c r="M10" s="23">
        <f>M9*$C$3</f>
        <v>5167834.4249999998</v>
      </c>
      <c r="N10" s="24">
        <f t="shared" ref="N10:O10" si="1">N9*$C$3</f>
        <v>4754210.76</v>
      </c>
      <c r="O10" s="25">
        <f t="shared" si="1"/>
        <v>6055627.5</v>
      </c>
    </row>
    <row r="11" spans="1:16" ht="14.7" thickBot="1" x14ac:dyDescent="0.55000000000000004">
      <c r="A11" s="78"/>
      <c r="B11" s="59" t="s">
        <v>19</v>
      </c>
      <c r="C11" s="60" t="s">
        <v>20</v>
      </c>
      <c r="D11" s="97"/>
      <c r="E11" s="31" t="s">
        <v>67</v>
      </c>
      <c r="F11" s="32" t="s">
        <v>51</v>
      </c>
      <c r="G11" s="112"/>
      <c r="H11" s="10">
        <v>0</v>
      </c>
      <c r="I11" s="4" t="s">
        <v>22</v>
      </c>
      <c r="J11" s="4" t="s">
        <v>23</v>
      </c>
      <c r="K11" s="104" t="s">
        <v>30</v>
      </c>
      <c r="L11" s="65">
        <v>25500</v>
      </c>
      <c r="M11" s="93" t="s">
        <v>21</v>
      </c>
      <c r="N11" s="94"/>
      <c r="O11" s="95"/>
    </row>
    <row r="12" spans="1:16" x14ac:dyDescent="0.5">
      <c r="A12" s="78"/>
      <c r="B12" s="59" t="s">
        <v>24</v>
      </c>
      <c r="C12" s="60" t="s">
        <v>26</v>
      </c>
      <c r="D12" s="97"/>
      <c r="E12" s="31" t="s">
        <v>46</v>
      </c>
      <c r="F12" s="32" t="s">
        <v>48</v>
      </c>
      <c r="G12" s="112"/>
      <c r="H12" s="44" t="s">
        <v>28</v>
      </c>
      <c r="I12" s="121">
        <v>0</v>
      </c>
      <c r="J12" s="121">
        <v>0</v>
      </c>
      <c r="K12" s="104"/>
      <c r="L12" s="65">
        <v>25550</v>
      </c>
      <c r="M12" s="129" t="s">
        <v>92</v>
      </c>
      <c r="N12" s="114"/>
      <c r="O12" s="115"/>
    </row>
    <row r="13" spans="1:16" ht="14.7" thickBot="1" x14ac:dyDescent="0.55000000000000004">
      <c r="A13" s="79"/>
      <c r="B13" s="61" t="s">
        <v>25</v>
      </c>
      <c r="C13" s="62" t="s">
        <v>27</v>
      </c>
      <c r="D13" s="98"/>
      <c r="E13" s="35" t="s">
        <v>47</v>
      </c>
      <c r="F13" s="40" t="s">
        <v>49</v>
      </c>
      <c r="G13" s="92"/>
      <c r="H13" s="47" t="s">
        <v>29</v>
      </c>
      <c r="I13" s="122">
        <v>0</v>
      </c>
      <c r="J13" s="122">
        <v>0</v>
      </c>
      <c r="K13" s="105"/>
      <c r="L13" s="66">
        <v>25600</v>
      </c>
      <c r="M13" s="116"/>
      <c r="N13" s="117"/>
      <c r="O13" s="118"/>
    </row>
    <row r="14" spans="1:16" ht="15" thickTop="1" thickBot="1" x14ac:dyDescent="0.55000000000000004">
      <c r="A14" s="90"/>
      <c r="B14" s="91"/>
      <c r="C14" s="91"/>
      <c r="D14" s="91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18"/>
    </row>
    <row r="15" spans="1:16" ht="14.7" thickTop="1" x14ac:dyDescent="0.5">
      <c r="B15" t="s">
        <v>34</v>
      </c>
      <c r="C15" t="s">
        <v>35</v>
      </c>
      <c r="D15" t="s">
        <v>3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0</v>
      </c>
      <c r="L15" t="s">
        <v>6</v>
      </c>
    </row>
    <row r="16" spans="1:16" x14ac:dyDescent="0.5">
      <c r="A16">
        <v>0</v>
      </c>
      <c r="B16" t="s">
        <v>88</v>
      </c>
      <c r="C16" t="s">
        <v>93</v>
      </c>
      <c r="D16">
        <v>25200</v>
      </c>
      <c r="E16" t="s">
        <v>2</v>
      </c>
      <c r="F16">
        <v>65</v>
      </c>
      <c r="G16">
        <v>27</v>
      </c>
      <c r="H16">
        <v>1755</v>
      </c>
      <c r="I16">
        <v>119.7</v>
      </c>
      <c r="J16" s="14">
        <v>118</v>
      </c>
      <c r="K16">
        <v>1.7000000000000028</v>
      </c>
      <c r="L16">
        <v>2983.500000000005</v>
      </c>
      <c r="N16" s="2"/>
      <c r="O16" s="2"/>
    </row>
    <row r="17" spans="1:16" x14ac:dyDescent="0.5">
      <c r="A17">
        <v>1</v>
      </c>
      <c r="B17" t="s">
        <v>89</v>
      </c>
      <c r="C17" t="s">
        <v>93</v>
      </c>
      <c r="D17">
        <v>25200</v>
      </c>
      <c r="E17" t="s">
        <v>1</v>
      </c>
      <c r="F17">
        <v>65</v>
      </c>
      <c r="G17">
        <v>27</v>
      </c>
      <c r="H17">
        <v>1755</v>
      </c>
      <c r="I17">
        <v>98.5</v>
      </c>
      <c r="J17">
        <v>100.6</v>
      </c>
      <c r="K17">
        <v>-2.0999999999999943</v>
      </c>
      <c r="L17">
        <v>-3685.49999999999</v>
      </c>
      <c r="N17" s="130"/>
      <c r="P17" s="1"/>
    </row>
    <row r="18" spans="1:16" x14ac:dyDescent="0.5">
      <c r="A18">
        <v>2</v>
      </c>
      <c r="J18">
        <v>-0.39999999999999147</v>
      </c>
      <c r="K18" t="s">
        <v>90</v>
      </c>
      <c r="L18">
        <v>-701.99999999998499</v>
      </c>
      <c r="N18" s="3"/>
      <c r="P18" s="1"/>
    </row>
    <row r="19" spans="1:16" x14ac:dyDescent="0.5">
      <c r="A19">
        <v>3</v>
      </c>
      <c r="J19" s="3"/>
      <c r="K19" t="s">
        <v>4</v>
      </c>
      <c r="L19" s="2">
        <v>-806</v>
      </c>
    </row>
    <row r="20" spans="1:16" x14ac:dyDescent="0.5">
      <c r="A20">
        <v>4</v>
      </c>
      <c r="K20" t="s">
        <v>5</v>
      </c>
      <c r="L20" s="2">
        <v>-1507.999999999985</v>
      </c>
    </row>
    <row r="21" spans="1:16" x14ac:dyDescent="0.5">
      <c r="A21">
        <v>5</v>
      </c>
      <c r="I21" t="s">
        <v>44</v>
      </c>
      <c r="J21" s="3">
        <v>6055564.3200000003</v>
      </c>
      <c r="K21" t="s">
        <v>43</v>
      </c>
      <c r="L21" s="1">
        <v>-1E-4</v>
      </c>
      <c r="M21" s="2"/>
      <c r="N21" s="1"/>
    </row>
    <row r="23" spans="1:16" x14ac:dyDescent="0.5">
      <c r="E23" s="36"/>
    </row>
  </sheetData>
  <sheetProtection selectLockedCells="1"/>
  <mergeCells count="20">
    <mergeCell ref="A14:O14"/>
    <mergeCell ref="M11:O11"/>
    <mergeCell ref="D8:D13"/>
    <mergeCell ref="H1:O1"/>
    <mergeCell ref="M2:O2"/>
    <mergeCell ref="M7:O7"/>
    <mergeCell ref="K11:K13"/>
    <mergeCell ref="J8:K9"/>
    <mergeCell ref="H7:K7"/>
    <mergeCell ref="E7:F7"/>
    <mergeCell ref="G1:G13"/>
    <mergeCell ref="M12:O13"/>
    <mergeCell ref="H10:K10"/>
    <mergeCell ref="D4:F4"/>
    <mergeCell ref="A1:A13"/>
    <mergeCell ref="E5:F5"/>
    <mergeCell ref="B1:C1"/>
    <mergeCell ref="D1:F1"/>
    <mergeCell ref="D3:F3"/>
    <mergeCell ref="H6:I6"/>
  </mergeCells>
  <conditionalFormatting sqref="K16:O16">
    <cfRule type="cellIs" dxfId="13" priority="1" operator="lessThan">
      <formula>0</formula>
    </cfRule>
    <cfRule type="cellIs" dxfId="12" priority="2" operator="greaterThan">
      <formula>0</formula>
    </cfRule>
  </conditionalFormatting>
  <conditionalFormatting sqref="L17:L21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N17">
    <cfRule type="cellIs" dxfId="9" priority="13" operator="lessThan">
      <formula>0</formula>
    </cfRule>
    <cfRule type="cellIs" dxfId="8" priority="14" operator="greaterThan">
      <formula>0</formula>
    </cfRule>
  </conditionalFormatting>
  <pageMargins left="0.7" right="0.7" top="0.75" bottom="0.75" header="0.3" footer="0.3"/>
  <pageSetup paperSize="9" scale="63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1"/>
  <sheetViews>
    <sheetView zoomScale="130" zoomScaleNormal="130" workbookViewId="0">
      <selection activeCell="C7" sqref="C7"/>
    </sheetView>
  </sheetViews>
  <sheetFormatPr defaultRowHeight="14.35" x14ac:dyDescent="0.5"/>
  <cols>
    <col min="1" max="1" width="2.1171875" bestFit="1" customWidth="1"/>
    <col min="2" max="2" width="18.41015625" bestFit="1" customWidth="1"/>
    <col min="3" max="3" width="11.1171875" bestFit="1" customWidth="1"/>
    <col min="4" max="4" width="9.87890625" bestFit="1" customWidth="1"/>
    <col min="5" max="5" width="14.87890625" bestFit="1" customWidth="1"/>
    <col min="6" max="6" width="8.1171875" customWidth="1"/>
    <col min="7" max="7" width="3.3515625" bestFit="1" customWidth="1"/>
    <col min="9" max="9" width="9.87890625" customWidth="1"/>
    <col min="10" max="10" width="14.3515625" bestFit="1" customWidth="1"/>
    <col min="11" max="11" width="10.87890625" bestFit="1" customWidth="1"/>
    <col min="12" max="12" width="8.52734375" customWidth="1"/>
    <col min="13" max="13" width="11.3515625" bestFit="1" customWidth="1"/>
    <col min="14" max="14" width="12.64453125" customWidth="1"/>
    <col min="15" max="15" width="11.3515625" bestFit="1" customWidth="1"/>
  </cols>
  <sheetData>
    <row r="1" spans="1:16" ht="15" customHeight="1" thickBot="1" x14ac:dyDescent="0.55000000000000004">
      <c r="A1" s="77"/>
      <c r="B1" s="82" t="s">
        <v>79</v>
      </c>
      <c r="C1" s="83"/>
      <c r="D1" s="84" t="s">
        <v>78</v>
      </c>
      <c r="E1" s="84"/>
      <c r="F1" s="85"/>
      <c r="G1" s="112"/>
      <c r="H1" s="99" t="s">
        <v>81</v>
      </c>
      <c r="I1" s="99"/>
      <c r="J1" s="99"/>
      <c r="K1" s="99"/>
      <c r="L1" s="99"/>
      <c r="M1" s="99"/>
      <c r="N1" s="99"/>
      <c r="O1" s="100"/>
    </row>
    <row r="2" spans="1:16" ht="14.7" thickBot="1" x14ac:dyDescent="0.55000000000000004">
      <c r="A2" s="78"/>
      <c r="B2" s="44" t="s">
        <v>60</v>
      </c>
      <c r="C2" s="4">
        <v>30</v>
      </c>
      <c r="D2" s="68">
        <v>4</v>
      </c>
      <c r="E2" s="68">
        <v>0</v>
      </c>
      <c r="F2" s="69">
        <v>0</v>
      </c>
      <c r="G2" s="112"/>
      <c r="H2" s="41" t="str">
        <f>Nifty!H2</f>
        <v>Profit</v>
      </c>
      <c r="I2" s="34">
        <f>Nifty!I2</f>
        <v>861.24999999999545</v>
      </c>
      <c r="J2" s="42" t="str">
        <f>Nifty!J2</f>
        <v>Profit Trades</v>
      </c>
      <c r="K2" s="43">
        <f>Nifty!K2</f>
        <v>7</v>
      </c>
      <c r="L2" s="67" t="s">
        <v>70</v>
      </c>
      <c r="M2" s="101" t="s">
        <v>11</v>
      </c>
      <c r="N2" s="102"/>
      <c r="O2" s="103"/>
    </row>
    <row r="3" spans="1:16" x14ac:dyDescent="0.5">
      <c r="A3" s="78"/>
      <c r="B3" s="44" t="s">
        <v>64</v>
      </c>
      <c r="C3" s="8">
        <v>17</v>
      </c>
      <c r="D3" s="86" t="s">
        <v>77</v>
      </c>
      <c r="E3" s="86"/>
      <c r="F3" s="87"/>
      <c r="G3" s="112"/>
      <c r="H3" s="44" t="str">
        <f>Nifty!H3</f>
        <v>Brokerage</v>
      </c>
      <c r="I3" s="4">
        <f>Nifty!I3</f>
        <v>-4558</v>
      </c>
      <c r="J3" s="5" t="str">
        <f>Nifty!J3</f>
        <v>Loss Trades</v>
      </c>
      <c r="K3" s="45">
        <f>Nifty!K3</f>
        <v>5</v>
      </c>
      <c r="L3" s="65">
        <v>58800</v>
      </c>
      <c r="M3" s="10" t="s">
        <v>2</v>
      </c>
      <c r="N3" s="26" t="s">
        <v>1</v>
      </c>
      <c r="O3" s="11" t="s">
        <v>12</v>
      </c>
    </row>
    <row r="4" spans="1:16" ht="14.7" thickBot="1" x14ac:dyDescent="0.55000000000000004">
      <c r="A4" s="78"/>
      <c r="B4" s="37" t="s">
        <v>62</v>
      </c>
      <c r="C4" s="56">
        <v>46049</v>
      </c>
      <c r="D4" s="75" t="s">
        <v>80</v>
      </c>
      <c r="E4" s="75"/>
      <c r="F4" s="76"/>
      <c r="G4" s="112"/>
      <c r="H4" s="46" t="str">
        <f>Nifty!H4</f>
        <v>Net Profit</v>
      </c>
      <c r="I4" s="6">
        <f>Nifty!I4</f>
        <v>-3696.7500000000045</v>
      </c>
      <c r="J4" s="5" t="str">
        <f>Nifty!J4</f>
        <v>Total Trades</v>
      </c>
      <c r="K4" s="45">
        <f>Nifty!K4</f>
        <v>12</v>
      </c>
      <c r="L4" s="65">
        <v>58900</v>
      </c>
      <c r="M4" s="12">
        <v>22386</v>
      </c>
      <c r="N4" s="7">
        <v>13405</v>
      </c>
      <c r="O4" s="13">
        <v>35791</v>
      </c>
    </row>
    <row r="5" spans="1:16" ht="14.7" thickBot="1" x14ac:dyDescent="0.55000000000000004">
      <c r="A5" s="78"/>
      <c r="B5" s="51" t="s">
        <v>2</v>
      </c>
      <c r="C5" s="9" t="s">
        <v>3</v>
      </c>
      <c r="D5" s="49" t="s">
        <v>1</v>
      </c>
      <c r="E5" s="80" t="s">
        <v>58</v>
      </c>
      <c r="F5" s="81"/>
      <c r="G5" s="112"/>
      <c r="H5" s="44" t="str">
        <f>Nifty!H5</f>
        <v>Points</v>
      </c>
      <c r="I5" s="4">
        <f>Nifty!I5</f>
        <v>12.25</v>
      </c>
      <c r="J5" s="5" t="str">
        <f>Nifty!J5</f>
        <v>Trade Accuracy</v>
      </c>
      <c r="K5" s="48">
        <f>Nifty!K5</f>
        <v>0.58330000000000004</v>
      </c>
      <c r="L5" s="65">
        <v>59000</v>
      </c>
      <c r="M5" s="20">
        <f>M4*$C$3</f>
        <v>380562</v>
      </c>
      <c r="N5" s="21">
        <f t="shared" ref="N5:O5" si="0">N4*$C$3</f>
        <v>227885</v>
      </c>
      <c r="O5" s="22">
        <f t="shared" si="0"/>
        <v>608447</v>
      </c>
    </row>
    <row r="6" spans="1:16" ht="14.7" thickBot="1" x14ac:dyDescent="0.55000000000000004">
      <c r="A6" s="78"/>
      <c r="B6" s="50">
        <v>684</v>
      </c>
      <c r="C6" s="52">
        <v>58900</v>
      </c>
      <c r="D6" s="39">
        <v>537.6</v>
      </c>
      <c r="E6" s="37" t="s">
        <v>57</v>
      </c>
      <c r="F6" s="38">
        <f>B6-D6+C6</f>
        <v>59046.400000000001</v>
      </c>
      <c r="G6" s="112"/>
      <c r="H6" s="88" t="str">
        <f>Nifty!H6</f>
        <v>Positives &amp; Negatives</v>
      </c>
      <c r="I6" s="89"/>
      <c r="J6" s="63">
        <f>Nifty!J6</f>
        <v>6459.4999999999845</v>
      </c>
      <c r="K6" s="64">
        <f>Nifty!K6</f>
        <v>-10156.249999999989</v>
      </c>
      <c r="L6" s="65">
        <v>59100</v>
      </c>
      <c r="M6" s="15">
        <v>-731</v>
      </c>
      <c r="N6" s="16">
        <v>-447</v>
      </c>
      <c r="O6" s="17">
        <v>-1178</v>
      </c>
    </row>
    <row r="7" spans="1:16" ht="14.7" thickBot="1" x14ac:dyDescent="0.55000000000000004">
      <c r="A7" s="78"/>
      <c r="B7" s="53">
        <v>0</v>
      </c>
      <c r="C7" s="54" t="s">
        <v>50</v>
      </c>
      <c r="D7" s="55">
        <v>0</v>
      </c>
      <c r="E7" s="110" t="s">
        <v>52</v>
      </c>
      <c r="F7" s="111"/>
      <c r="G7" s="112"/>
      <c r="H7" s="107" t="s">
        <v>32</v>
      </c>
      <c r="I7" s="108"/>
      <c r="J7" s="108"/>
      <c r="K7" s="109"/>
      <c r="L7" s="65">
        <v>59200</v>
      </c>
      <c r="M7" s="101" t="s">
        <v>13</v>
      </c>
      <c r="N7" s="102"/>
      <c r="O7" s="103"/>
    </row>
    <row r="8" spans="1:16" ht="14.45" customHeight="1" thickBot="1" x14ac:dyDescent="0.55000000000000004">
      <c r="A8" s="78"/>
      <c r="B8" s="57" t="s">
        <v>45</v>
      </c>
      <c r="C8" s="58" t="s">
        <v>14</v>
      </c>
      <c r="D8" s="96" t="s">
        <v>68</v>
      </c>
      <c r="E8" s="27" t="s">
        <v>55</v>
      </c>
      <c r="F8" s="28" t="s">
        <v>56</v>
      </c>
      <c r="G8" s="112"/>
      <c r="H8" s="44" t="s">
        <v>22</v>
      </c>
      <c r="I8" s="8">
        <v>0</v>
      </c>
      <c r="J8" s="106" t="s">
        <v>31</v>
      </c>
      <c r="K8" s="104"/>
      <c r="L8" s="65">
        <v>59300</v>
      </c>
      <c r="M8" s="10" t="s">
        <v>2</v>
      </c>
      <c r="N8" s="26" t="s">
        <v>1</v>
      </c>
      <c r="O8" s="11" t="s">
        <v>12</v>
      </c>
    </row>
    <row r="9" spans="1:16" x14ac:dyDescent="0.5">
      <c r="A9" s="78"/>
      <c r="B9" s="59" t="s">
        <v>16</v>
      </c>
      <c r="C9" s="60" t="s">
        <v>15</v>
      </c>
      <c r="D9" s="97"/>
      <c r="E9" s="70" t="s">
        <v>73</v>
      </c>
      <c r="F9" s="71">
        <v>0</v>
      </c>
      <c r="G9" s="112"/>
      <c r="H9" s="44" t="s">
        <v>23</v>
      </c>
      <c r="I9" s="8">
        <v>0</v>
      </c>
      <c r="J9" s="106"/>
      <c r="K9" s="104"/>
      <c r="L9" s="65">
        <v>59400</v>
      </c>
      <c r="M9" s="12">
        <v>273379.08499999996</v>
      </c>
      <c r="N9" s="7">
        <v>260513.01500000001</v>
      </c>
      <c r="O9" s="13">
        <v>315220.14999999997</v>
      </c>
    </row>
    <row r="10" spans="1:16" ht="14.7" thickBot="1" x14ac:dyDescent="0.55000000000000004">
      <c r="A10" s="78"/>
      <c r="B10" s="59" t="s">
        <v>17</v>
      </c>
      <c r="C10" s="60" t="s">
        <v>18</v>
      </c>
      <c r="D10" s="97"/>
      <c r="E10" s="29" t="s">
        <v>66</v>
      </c>
      <c r="F10" s="30" t="s">
        <v>50</v>
      </c>
      <c r="G10" s="112"/>
      <c r="H10" s="119" t="s">
        <v>72</v>
      </c>
      <c r="I10" s="73"/>
      <c r="J10" s="73"/>
      <c r="K10" s="74"/>
      <c r="L10" s="65">
        <v>59500</v>
      </c>
      <c r="M10" s="23">
        <f>M9*$C$3</f>
        <v>4647444.4449999994</v>
      </c>
      <c r="N10" s="24">
        <f t="shared" ref="N10:O10" si="1">N9*$C$3</f>
        <v>4428721.2549999999</v>
      </c>
      <c r="O10" s="25">
        <f t="shared" si="1"/>
        <v>5358742.55</v>
      </c>
    </row>
    <row r="11" spans="1:16" ht="15.75" customHeight="1" thickBot="1" x14ac:dyDescent="0.55000000000000004">
      <c r="A11" s="78"/>
      <c r="B11" s="59" t="s">
        <v>19</v>
      </c>
      <c r="C11" s="60" t="s">
        <v>20</v>
      </c>
      <c r="D11" s="97"/>
      <c r="E11" s="31" t="s">
        <v>67</v>
      </c>
      <c r="F11" s="32" t="s">
        <v>51</v>
      </c>
      <c r="G11" s="112"/>
      <c r="H11" s="10">
        <v>0</v>
      </c>
      <c r="I11" s="4" t="s">
        <v>22</v>
      </c>
      <c r="J11" s="4" t="s">
        <v>23</v>
      </c>
      <c r="K11" s="104" t="s">
        <v>30</v>
      </c>
      <c r="L11" s="65">
        <v>59600</v>
      </c>
      <c r="M11" s="93" t="s">
        <v>21</v>
      </c>
      <c r="N11" s="94"/>
      <c r="O11" s="95"/>
    </row>
    <row r="12" spans="1:16" x14ac:dyDescent="0.5">
      <c r="A12" s="78"/>
      <c r="B12" s="59" t="s">
        <v>24</v>
      </c>
      <c r="C12" s="60" t="s">
        <v>26</v>
      </c>
      <c r="D12" s="97"/>
      <c r="E12" s="31" t="s">
        <v>46</v>
      </c>
      <c r="F12" s="32" t="s">
        <v>48</v>
      </c>
      <c r="G12" s="112"/>
      <c r="H12" s="44" t="s">
        <v>28</v>
      </c>
      <c r="I12" s="8">
        <v>0</v>
      </c>
      <c r="J12" s="8">
        <v>0</v>
      </c>
      <c r="K12" s="104"/>
      <c r="L12" s="65">
        <v>59700</v>
      </c>
      <c r="M12" s="113" t="s">
        <v>69</v>
      </c>
      <c r="N12" s="114"/>
      <c r="O12" s="115"/>
    </row>
    <row r="13" spans="1:16" ht="14.7" thickBot="1" x14ac:dyDescent="0.55000000000000004">
      <c r="A13" s="79"/>
      <c r="B13" s="61" t="s">
        <v>25</v>
      </c>
      <c r="C13" s="62" t="s">
        <v>27</v>
      </c>
      <c r="D13" s="98"/>
      <c r="E13" s="35" t="s">
        <v>47</v>
      </c>
      <c r="F13" s="40" t="s">
        <v>49</v>
      </c>
      <c r="G13" s="92"/>
      <c r="H13" s="47" t="s">
        <v>29</v>
      </c>
      <c r="I13" s="33">
        <v>0</v>
      </c>
      <c r="J13" s="33">
        <v>0</v>
      </c>
      <c r="K13" s="105"/>
      <c r="L13" s="66">
        <v>59800</v>
      </c>
      <c r="M13" s="116"/>
      <c r="N13" s="117"/>
      <c r="O13" s="118"/>
    </row>
    <row r="14" spans="1:16" ht="15" thickTop="1" thickBot="1" x14ac:dyDescent="0.55000000000000004">
      <c r="A14" s="90"/>
      <c r="B14" s="91"/>
      <c r="C14" s="91"/>
      <c r="D14" s="91"/>
      <c r="E14" s="92"/>
      <c r="F14" s="92"/>
      <c r="G14" s="92"/>
      <c r="H14" s="92"/>
      <c r="I14" s="92"/>
      <c r="J14" s="92"/>
      <c r="K14" s="92"/>
      <c r="L14" s="91"/>
      <c r="M14" s="92"/>
      <c r="N14" s="92"/>
      <c r="O14" s="92"/>
      <c r="P14" s="19"/>
    </row>
    <row r="15" spans="1:16" ht="14.7" thickTop="1" x14ac:dyDescent="0.5">
      <c r="B15" t="s">
        <v>34</v>
      </c>
      <c r="C15" t="s">
        <v>35</v>
      </c>
      <c r="D15" t="s">
        <v>3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0</v>
      </c>
      <c r="L15" t="s">
        <v>6</v>
      </c>
      <c r="M15" t="s">
        <v>4</v>
      </c>
      <c r="N15" t="s">
        <v>5</v>
      </c>
    </row>
    <row r="16" spans="1:16" x14ac:dyDescent="0.5">
      <c r="A16">
        <v>0</v>
      </c>
      <c r="B16" t="s">
        <v>71</v>
      </c>
      <c r="C16" t="s">
        <v>42</v>
      </c>
      <c r="D16">
        <v>56800</v>
      </c>
      <c r="E16" t="s">
        <v>2</v>
      </c>
      <c r="F16">
        <v>35</v>
      </c>
      <c r="G16">
        <v>17</v>
      </c>
      <c r="H16">
        <v>595</v>
      </c>
      <c r="I16">
        <v>523.6</v>
      </c>
      <c r="J16" s="14">
        <v>525</v>
      </c>
      <c r="K16">
        <v>1.3999999999999773</v>
      </c>
      <c r="L16">
        <v>832.99999999998647</v>
      </c>
      <c r="M16">
        <v>-603</v>
      </c>
      <c r="N16" s="2">
        <v>229.99999999998647</v>
      </c>
    </row>
    <row r="17" spans="1:14" x14ac:dyDescent="0.5">
      <c r="A17">
        <v>1</v>
      </c>
      <c r="M17" t="s">
        <v>43</v>
      </c>
      <c r="N17" s="1">
        <v>6.9999999999999999E-4</v>
      </c>
    </row>
    <row r="18" spans="1:14" x14ac:dyDescent="0.5">
      <c r="A18">
        <v>2</v>
      </c>
      <c r="M18" t="s">
        <v>44</v>
      </c>
      <c r="N18" s="3">
        <v>311542</v>
      </c>
    </row>
    <row r="21" spans="1:14" x14ac:dyDescent="0.5">
      <c r="L21" s="1"/>
    </row>
  </sheetData>
  <mergeCells count="20">
    <mergeCell ref="H7:K7"/>
    <mergeCell ref="H10:K10"/>
    <mergeCell ref="D3:F3"/>
    <mergeCell ref="H6:I6"/>
    <mergeCell ref="A14:O14"/>
    <mergeCell ref="M11:O11"/>
    <mergeCell ref="D8:D13"/>
    <mergeCell ref="E7:F7"/>
    <mergeCell ref="G1:G13"/>
    <mergeCell ref="E5:F5"/>
    <mergeCell ref="A1:A13"/>
    <mergeCell ref="B1:C1"/>
    <mergeCell ref="D1:F1"/>
    <mergeCell ref="D4:F4"/>
    <mergeCell ref="H1:O1"/>
    <mergeCell ref="M2:O2"/>
    <mergeCell ref="M7:O7"/>
    <mergeCell ref="J8:K9"/>
    <mergeCell ref="K11:K13"/>
    <mergeCell ref="M12:O13"/>
  </mergeCells>
  <conditionalFormatting sqref="L17:L21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L16:N16 N17">
    <cfRule type="cellIs" dxfId="5" priority="9" operator="lessThan">
      <formula>0</formula>
    </cfRule>
    <cfRule type="cellIs" dxfId="4" priority="10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1"/>
  <sheetViews>
    <sheetView zoomScale="115" zoomScaleNormal="115" workbookViewId="0">
      <selection activeCell="K20" sqref="K20"/>
    </sheetView>
  </sheetViews>
  <sheetFormatPr defaultRowHeight="14.35" x14ac:dyDescent="0.5"/>
  <cols>
    <col min="1" max="1" width="2.3515625" customWidth="1"/>
    <col min="2" max="2" width="18.41015625" bestFit="1" customWidth="1"/>
    <col min="3" max="3" width="11.1171875" bestFit="1" customWidth="1"/>
    <col min="4" max="4" width="10" customWidth="1"/>
    <col min="5" max="5" width="14.87890625" bestFit="1" customWidth="1"/>
    <col min="6" max="6" width="7.41015625" customWidth="1"/>
    <col min="7" max="7" width="3.3515625" bestFit="1" customWidth="1"/>
    <col min="9" max="9" width="10.41015625" customWidth="1"/>
    <col min="10" max="10" width="14" customWidth="1"/>
    <col min="12" max="12" width="7.64453125" customWidth="1"/>
    <col min="13" max="13" width="13" bestFit="1" customWidth="1"/>
    <col min="14" max="14" width="14.52734375" customWidth="1"/>
    <col min="15" max="15" width="13" bestFit="1" customWidth="1"/>
  </cols>
  <sheetData>
    <row r="1" spans="1:16" ht="15" customHeight="1" thickBot="1" x14ac:dyDescent="0.55000000000000004">
      <c r="A1" s="77"/>
      <c r="B1" s="82" t="s">
        <v>83</v>
      </c>
      <c r="C1" s="83"/>
      <c r="D1" s="84" t="s">
        <v>82</v>
      </c>
      <c r="E1" s="84"/>
      <c r="F1" s="85"/>
      <c r="G1" s="112"/>
      <c r="H1" s="99" t="s">
        <v>85</v>
      </c>
      <c r="I1" s="99"/>
      <c r="J1" s="99"/>
      <c r="K1" s="99"/>
      <c r="L1" s="99"/>
      <c r="M1" s="99"/>
      <c r="N1" s="99"/>
      <c r="O1" s="100"/>
    </row>
    <row r="2" spans="1:16" ht="14.7" thickBot="1" x14ac:dyDescent="0.55000000000000004">
      <c r="A2" s="78"/>
      <c r="B2" s="44" t="s">
        <v>61</v>
      </c>
      <c r="C2" s="4">
        <v>20</v>
      </c>
      <c r="D2" s="68">
        <v>52</v>
      </c>
      <c r="E2" s="68">
        <v>0</v>
      </c>
      <c r="F2" s="69">
        <v>0</v>
      </c>
      <c r="G2" s="112"/>
      <c r="H2" s="41" t="str">
        <f>Nifty!H2</f>
        <v>Profit</v>
      </c>
      <c r="I2" s="34">
        <f>Nifty!I2</f>
        <v>861.24999999999545</v>
      </c>
      <c r="J2" s="42" t="str">
        <f>Nifty!J2</f>
        <v>Profit Trades</v>
      </c>
      <c r="K2" s="43">
        <f>Nifty!K2</f>
        <v>7</v>
      </c>
      <c r="L2" s="67" t="s">
        <v>70</v>
      </c>
      <c r="M2" s="101" t="s">
        <v>11</v>
      </c>
      <c r="N2" s="102"/>
      <c r="O2" s="103"/>
    </row>
    <row r="3" spans="1:16" x14ac:dyDescent="0.5">
      <c r="A3" s="78"/>
      <c r="B3" s="44" t="s">
        <v>10</v>
      </c>
      <c r="C3" s="8">
        <v>1</v>
      </c>
      <c r="D3" s="86" t="s">
        <v>75</v>
      </c>
      <c r="E3" s="86"/>
      <c r="F3" s="87"/>
      <c r="G3" s="112"/>
      <c r="H3" s="44" t="str">
        <f>Nifty!H3</f>
        <v>Brokerage</v>
      </c>
      <c r="I3" s="4">
        <f>Nifty!I3</f>
        <v>-4558</v>
      </c>
      <c r="J3" s="5" t="str">
        <f>Nifty!J3</f>
        <v>Loss Trades</v>
      </c>
      <c r="K3" s="45">
        <f>Nifty!K3</f>
        <v>5</v>
      </c>
      <c r="L3" s="65">
        <v>82000</v>
      </c>
      <c r="M3" s="10" t="s">
        <v>2</v>
      </c>
      <c r="N3" s="26" t="s">
        <v>1</v>
      </c>
      <c r="O3" s="11" t="s">
        <v>12</v>
      </c>
    </row>
    <row r="4" spans="1:16" ht="14.7" thickBot="1" x14ac:dyDescent="0.55000000000000004">
      <c r="A4" s="78"/>
      <c r="B4" s="37" t="s">
        <v>62</v>
      </c>
      <c r="C4" s="56">
        <v>46030</v>
      </c>
      <c r="D4" s="75" t="s">
        <v>84</v>
      </c>
      <c r="E4" s="75"/>
      <c r="F4" s="76"/>
      <c r="G4" s="112"/>
      <c r="H4" s="46" t="str">
        <f>Nifty!H4</f>
        <v>Net Profit</v>
      </c>
      <c r="I4" s="6">
        <f>Nifty!I4</f>
        <v>-3696.7500000000045</v>
      </c>
      <c r="J4" s="5" t="str">
        <f>Nifty!J4</f>
        <v>Total Trades</v>
      </c>
      <c r="K4" s="45">
        <f>Nifty!K4</f>
        <v>12</v>
      </c>
      <c r="L4" s="65">
        <v>82100</v>
      </c>
      <c r="M4" s="12">
        <v>6867</v>
      </c>
      <c r="N4" s="7">
        <v>6829</v>
      </c>
      <c r="O4" s="13">
        <v>13739</v>
      </c>
    </row>
    <row r="5" spans="1:16" ht="14.7" thickBot="1" x14ac:dyDescent="0.55000000000000004">
      <c r="A5" s="78"/>
      <c r="B5" s="51" t="s">
        <v>2</v>
      </c>
      <c r="C5" s="9" t="s">
        <v>3</v>
      </c>
      <c r="D5" s="49" t="s">
        <v>1</v>
      </c>
      <c r="E5" s="80" t="s">
        <v>58</v>
      </c>
      <c r="F5" s="81"/>
      <c r="G5" s="112"/>
      <c r="H5" s="44" t="str">
        <f>Nifty!H5</f>
        <v>Points</v>
      </c>
      <c r="I5" s="4">
        <f>Nifty!I5</f>
        <v>12.25</v>
      </c>
      <c r="J5" s="5" t="str">
        <f>Nifty!J5</f>
        <v>Trade Accuracy</v>
      </c>
      <c r="K5" s="48">
        <f>Nifty!K5</f>
        <v>0.58330000000000004</v>
      </c>
      <c r="L5" s="65">
        <v>82200</v>
      </c>
      <c r="M5" s="20">
        <f>M4*$C$3</f>
        <v>6867</v>
      </c>
      <c r="N5" s="21">
        <f t="shared" ref="N5:O5" si="0">N4*$C$3</f>
        <v>6829</v>
      </c>
      <c r="O5" s="22">
        <f t="shared" si="0"/>
        <v>13739</v>
      </c>
    </row>
    <row r="6" spans="1:16" ht="14.7" thickBot="1" x14ac:dyDescent="0.55000000000000004">
      <c r="A6" s="78"/>
      <c r="B6" s="50">
        <v>353.1</v>
      </c>
      <c r="C6" s="52">
        <v>82000</v>
      </c>
      <c r="D6" s="39">
        <v>309.5</v>
      </c>
      <c r="E6" s="37" t="s">
        <v>57</v>
      </c>
      <c r="F6" s="38">
        <f>B6-D6+C6</f>
        <v>82043.600000000006</v>
      </c>
      <c r="G6" s="112"/>
      <c r="H6" s="88" t="str">
        <f>Nifty!H6</f>
        <v>Positives &amp; Negatives</v>
      </c>
      <c r="I6" s="89"/>
      <c r="J6" s="63">
        <f>Nifty!J6</f>
        <v>6459.4999999999845</v>
      </c>
      <c r="K6" s="64">
        <f>Nifty!K6</f>
        <v>-10156.249999999989</v>
      </c>
      <c r="L6" s="65">
        <v>82300</v>
      </c>
      <c r="M6" s="15">
        <v>-36</v>
      </c>
      <c r="N6" s="16">
        <v>-36</v>
      </c>
      <c r="O6" s="17">
        <v>-72</v>
      </c>
    </row>
    <row r="7" spans="1:16" ht="14.7" thickBot="1" x14ac:dyDescent="0.55000000000000004">
      <c r="A7" s="78"/>
      <c r="B7" s="53">
        <v>0</v>
      </c>
      <c r="C7" s="54" t="s">
        <v>50</v>
      </c>
      <c r="D7" s="55">
        <v>0</v>
      </c>
      <c r="E7" s="110" t="s">
        <v>52</v>
      </c>
      <c r="F7" s="111"/>
      <c r="G7" s="112"/>
      <c r="H7" s="107" t="s">
        <v>32</v>
      </c>
      <c r="I7" s="108"/>
      <c r="J7" s="108"/>
      <c r="K7" s="109"/>
      <c r="L7" s="65">
        <v>82400</v>
      </c>
      <c r="M7" s="101" t="s">
        <v>13</v>
      </c>
      <c r="N7" s="102"/>
      <c r="O7" s="103"/>
    </row>
    <row r="8" spans="1:16" ht="15" customHeight="1" thickBot="1" x14ac:dyDescent="0.55000000000000004">
      <c r="A8" s="78"/>
      <c r="B8" s="57" t="s">
        <v>45</v>
      </c>
      <c r="C8" s="58" t="s">
        <v>14</v>
      </c>
      <c r="D8" s="96" t="s">
        <v>68</v>
      </c>
      <c r="E8" s="27" t="s">
        <v>55</v>
      </c>
      <c r="F8" s="28" t="s">
        <v>56</v>
      </c>
      <c r="G8" s="112"/>
      <c r="H8" s="44" t="s">
        <v>22</v>
      </c>
      <c r="I8" s="8">
        <v>2</v>
      </c>
      <c r="J8" s="106" t="s">
        <v>31</v>
      </c>
      <c r="K8" s="104"/>
      <c r="L8" s="65">
        <v>82500</v>
      </c>
      <c r="M8" s="10" t="s">
        <v>2</v>
      </c>
      <c r="N8" s="26" t="s">
        <v>1</v>
      </c>
      <c r="O8" s="11" t="s">
        <v>12</v>
      </c>
    </row>
    <row r="9" spans="1:16" x14ac:dyDescent="0.5">
      <c r="A9" s="78"/>
      <c r="B9" s="59" t="s">
        <v>16</v>
      </c>
      <c r="C9" s="60" t="s">
        <v>15</v>
      </c>
      <c r="D9" s="97"/>
      <c r="E9" s="70" t="s">
        <v>73</v>
      </c>
      <c r="F9" s="71">
        <v>2</v>
      </c>
      <c r="G9" s="112"/>
      <c r="H9" s="44" t="s">
        <v>23</v>
      </c>
      <c r="I9" s="8">
        <v>0</v>
      </c>
      <c r="J9" s="106"/>
      <c r="K9" s="104"/>
      <c r="L9" s="65">
        <v>82600</v>
      </c>
      <c r="M9" s="12">
        <v>189641.83999999997</v>
      </c>
      <c r="N9" s="7">
        <v>185011.484</v>
      </c>
      <c r="O9" s="13">
        <v>223923.83999999997</v>
      </c>
    </row>
    <row r="10" spans="1:16" ht="14.7" thickBot="1" x14ac:dyDescent="0.55000000000000004">
      <c r="A10" s="78"/>
      <c r="B10" s="59" t="s">
        <v>17</v>
      </c>
      <c r="C10" s="60" t="s">
        <v>18</v>
      </c>
      <c r="D10" s="97"/>
      <c r="E10" s="29" t="s">
        <v>66</v>
      </c>
      <c r="F10" s="30" t="s">
        <v>50</v>
      </c>
      <c r="G10" s="112"/>
      <c r="H10" s="72" t="s">
        <v>72</v>
      </c>
      <c r="I10" s="73"/>
      <c r="J10" s="73"/>
      <c r="K10" s="74"/>
      <c r="L10" s="65">
        <v>82700</v>
      </c>
      <c r="M10" s="23">
        <f>M9*$C$3</f>
        <v>189641.83999999997</v>
      </c>
      <c r="N10" s="24">
        <f t="shared" ref="N10:O10" si="1">N9*$C$3</f>
        <v>185011.484</v>
      </c>
      <c r="O10" s="25">
        <f t="shared" si="1"/>
        <v>223923.83999999997</v>
      </c>
    </row>
    <row r="11" spans="1:16" ht="15.75" customHeight="1" thickBot="1" x14ac:dyDescent="0.55000000000000004">
      <c r="A11" s="78"/>
      <c r="B11" s="59" t="s">
        <v>19</v>
      </c>
      <c r="C11" s="60" t="s">
        <v>20</v>
      </c>
      <c r="D11" s="97"/>
      <c r="E11" s="31" t="s">
        <v>67</v>
      </c>
      <c r="F11" s="32" t="s">
        <v>51</v>
      </c>
      <c r="G11" s="112"/>
      <c r="H11" s="10">
        <v>0</v>
      </c>
      <c r="I11" s="4" t="s">
        <v>22</v>
      </c>
      <c r="J11" s="4" t="s">
        <v>23</v>
      </c>
      <c r="K11" s="104" t="s">
        <v>30</v>
      </c>
      <c r="L11" s="65">
        <v>82800</v>
      </c>
      <c r="M11" s="93" t="s">
        <v>21</v>
      </c>
      <c r="N11" s="94"/>
      <c r="O11" s="95"/>
    </row>
    <row r="12" spans="1:16" x14ac:dyDescent="0.5">
      <c r="A12" s="78"/>
      <c r="B12" s="59" t="s">
        <v>24</v>
      </c>
      <c r="C12" s="60" t="s">
        <v>26</v>
      </c>
      <c r="D12" s="97"/>
      <c r="E12" s="31" t="s">
        <v>46</v>
      </c>
      <c r="F12" s="32" t="s">
        <v>48</v>
      </c>
      <c r="G12" s="112"/>
      <c r="H12" s="44" t="s">
        <v>28</v>
      </c>
      <c r="I12" s="8">
        <v>0</v>
      </c>
      <c r="J12" s="8">
        <v>0</v>
      </c>
      <c r="K12" s="104"/>
      <c r="L12" s="65">
        <v>82900</v>
      </c>
      <c r="M12" s="113" t="s">
        <v>69</v>
      </c>
      <c r="N12" s="114"/>
      <c r="O12" s="115"/>
    </row>
    <row r="13" spans="1:16" ht="14.7" thickBot="1" x14ac:dyDescent="0.55000000000000004">
      <c r="A13" s="79"/>
      <c r="B13" s="61" t="s">
        <v>25</v>
      </c>
      <c r="C13" s="62" t="s">
        <v>27</v>
      </c>
      <c r="D13" s="98"/>
      <c r="E13" s="35" t="s">
        <v>47</v>
      </c>
      <c r="F13" s="40" t="s">
        <v>49</v>
      </c>
      <c r="G13" s="92"/>
      <c r="H13" s="47" t="s">
        <v>29</v>
      </c>
      <c r="I13" s="33">
        <v>0</v>
      </c>
      <c r="J13" s="33">
        <v>0</v>
      </c>
      <c r="K13" s="105"/>
      <c r="L13" s="66">
        <v>83000</v>
      </c>
      <c r="M13" s="116"/>
      <c r="N13" s="117"/>
      <c r="O13" s="118"/>
    </row>
    <row r="14" spans="1:16" ht="15" thickTop="1" thickBot="1" x14ac:dyDescent="0.55000000000000004">
      <c r="A14" s="90">
        <v>62.09</v>
      </c>
      <c r="B14" s="91"/>
      <c r="C14" s="91"/>
      <c r="D14" s="91"/>
      <c r="E14" s="92"/>
      <c r="F14" s="92"/>
      <c r="G14" s="92"/>
      <c r="H14" s="92"/>
      <c r="I14" s="92"/>
      <c r="J14" s="92"/>
      <c r="K14" s="92"/>
      <c r="L14" s="91"/>
      <c r="M14" s="92"/>
      <c r="N14" s="92"/>
      <c r="O14" s="92"/>
      <c r="P14" s="19"/>
    </row>
    <row r="15" spans="1:16" ht="14.7" thickTop="1" x14ac:dyDescent="0.5">
      <c r="B15" t="s">
        <v>34</v>
      </c>
      <c r="C15" t="s">
        <v>35</v>
      </c>
      <c r="D15" t="s">
        <v>3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0</v>
      </c>
      <c r="L15" t="s">
        <v>6</v>
      </c>
      <c r="M15" t="s">
        <v>4</v>
      </c>
      <c r="N15" t="s">
        <v>5</v>
      </c>
    </row>
    <row r="16" spans="1:16" x14ac:dyDescent="0.5">
      <c r="A16">
        <v>0</v>
      </c>
      <c r="B16" t="s">
        <v>76</v>
      </c>
      <c r="C16" t="s">
        <v>42</v>
      </c>
      <c r="D16">
        <v>85500</v>
      </c>
      <c r="E16" t="s">
        <v>2</v>
      </c>
      <c r="F16">
        <v>20</v>
      </c>
      <c r="G16">
        <v>1</v>
      </c>
      <c r="H16">
        <v>20</v>
      </c>
      <c r="I16">
        <v>31</v>
      </c>
      <c r="J16" s="14">
        <v>29.5</v>
      </c>
      <c r="K16">
        <v>-1.5</v>
      </c>
      <c r="L16">
        <v>-30</v>
      </c>
      <c r="M16">
        <v>-24</v>
      </c>
      <c r="N16" s="2">
        <v>-54</v>
      </c>
    </row>
    <row r="17" spans="1:14" x14ac:dyDescent="0.5">
      <c r="A17">
        <v>1</v>
      </c>
      <c r="M17" t="s">
        <v>43</v>
      </c>
      <c r="N17" s="1">
        <v>-8.7099999999999997E-2</v>
      </c>
    </row>
    <row r="18" spans="1:14" x14ac:dyDescent="0.5">
      <c r="A18">
        <v>2</v>
      </c>
      <c r="M18" t="s">
        <v>44</v>
      </c>
      <c r="N18" s="3">
        <v>620</v>
      </c>
    </row>
    <row r="19" spans="1:14" x14ac:dyDescent="0.5">
      <c r="J19" s="3"/>
      <c r="M19" s="1"/>
    </row>
    <row r="21" spans="1:14" x14ac:dyDescent="0.5">
      <c r="L21" s="1"/>
    </row>
  </sheetData>
  <mergeCells count="20">
    <mergeCell ref="H7:K7"/>
    <mergeCell ref="H10:K10"/>
    <mergeCell ref="D3:F3"/>
    <mergeCell ref="H6:I6"/>
    <mergeCell ref="A14:O14"/>
    <mergeCell ref="M11:O11"/>
    <mergeCell ref="D8:D13"/>
    <mergeCell ref="E7:F7"/>
    <mergeCell ref="G1:G13"/>
    <mergeCell ref="E5:F5"/>
    <mergeCell ref="A1:A13"/>
    <mergeCell ref="B1:C1"/>
    <mergeCell ref="D1:F1"/>
    <mergeCell ref="D4:F4"/>
    <mergeCell ref="H1:O1"/>
    <mergeCell ref="M2:O2"/>
    <mergeCell ref="M7:O7"/>
    <mergeCell ref="J8:K9"/>
    <mergeCell ref="K11:K13"/>
    <mergeCell ref="M12:O13"/>
  </mergeCells>
  <conditionalFormatting sqref="K16:N16 N17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L17:L21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</vt:lpstr>
      <vt:lpstr>Bank-Nifty</vt:lpstr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2026-01-23T06:44:03Z</dcterms:modified>
</cp:coreProperties>
</file>